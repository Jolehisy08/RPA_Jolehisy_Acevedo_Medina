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leh\Desktop\MII\SEGUNDO\2Cuatrimestre\IIA\RPA_Jolehisy_Acevedo_Medina\"/>
    </mc:Choice>
  </mc:AlternateContent>
  <xr:revisionPtr revIDLastSave="0" documentId="13_ncr:1_{EA717852-D907-46F5-839D-B9F0DDBFD024}" xr6:coauthVersionLast="47" xr6:coauthVersionMax="47" xr10:uidLastSave="{00000000-0000-0000-0000-000000000000}"/>
  <bookViews>
    <workbookView xWindow="28680" yWindow="-120" windowWidth="30960" windowHeight="16800" firstSheet="1" activeTab="7" xr2:uid="{60E53714-B544-4A41-8E06-72AD90D772D2}"/>
  </bookViews>
  <sheets>
    <sheet name="PORTADA" sheetId="4" r:id="rId1"/>
    <sheet name="MEMORIA ETIQUETAS" sheetId="1" r:id="rId2"/>
    <sheet name="MEMORIA TABLAS" sheetId="2" r:id="rId3"/>
    <sheet name="DATOS IMÁGENES" sheetId="9" r:id="rId4"/>
    <sheet name="MEMORIA CUADROS" sheetId="3" r:id="rId5"/>
    <sheet name="ANEXO DISP MIN" sheetId="5" r:id="rId6"/>
    <sheet name="EBSS" sheetId="6" r:id="rId7"/>
    <sheet name="PERSONAL_EBSS" sheetId="7" r:id="rId8"/>
    <sheet name="PLIEGO CONDICIONES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2" l="1"/>
  <c r="B3" i="6"/>
  <c r="B4" i="6"/>
  <c r="B2" i="6"/>
  <c r="B8" i="1"/>
  <c r="B4" i="8"/>
  <c r="B3" i="8"/>
  <c r="B2" i="8"/>
  <c r="B2" i="5"/>
  <c r="B9" i="6"/>
  <c r="B8" i="6"/>
  <c r="B7" i="6"/>
  <c r="B5" i="5"/>
  <c r="B4" i="5"/>
  <c r="B3" i="5"/>
  <c r="B20" i="1"/>
  <c r="B19" i="1"/>
  <c r="B14" i="1"/>
</calcChain>
</file>

<file path=xl/sharedStrings.xml><?xml version="1.0" encoding="utf-8"?>
<sst xmlns="http://schemas.openxmlformats.org/spreadsheetml/2006/main" count="137" uniqueCount="105">
  <si>
    <t>Etiqueta</t>
  </si>
  <si>
    <t>[[PLUVI EXISTENTES / DE NUEVA EJECUCIÓN]]</t>
  </si>
  <si>
    <t>[[AYUNTAMIENTO]]</t>
  </si>
  <si>
    <t>[[RAZÓN SOCIAL]]</t>
  </si>
  <si>
    <t>[[CIF / DNI]]</t>
  </si>
  <si>
    <t>[[DOMICILIO SOCIAL]]</t>
  </si>
  <si>
    <t>[[direccion_completa]]</t>
  </si>
  <si>
    <t xml:space="preserve">[[CODIGO_CNAE]] </t>
  </si>
  <si>
    <t>[[NOMBRE_EPIGRAFE]]</t>
  </si>
  <si>
    <t>[[LETRA_SECCION]]</t>
  </si>
  <si>
    <t xml:space="preserve">[[TRIMESTRE INICIO]] </t>
  </si>
  <si>
    <t>[[AÑO]]</t>
  </si>
  <si>
    <t>[[NUM_MAX_TRABAJADORES]]</t>
  </si>
  <si>
    <t>[[HORA_INICIO]]</t>
  </si>
  <si>
    <t>[[HORA_FIN]]</t>
  </si>
  <si>
    <t>[[DIAS_SEMANA]]</t>
  </si>
  <si>
    <t>[[USO_ANTERIOR]]</t>
  </si>
  <si>
    <t>[[actividad principal]]</t>
  </si>
  <si>
    <t>[[local / nave 1]]</t>
  </si>
  <si>
    <t>[[local / nave 2]]</t>
  </si>
  <si>
    <t>un una</t>
  </si>
  <si>
    <t>del de la</t>
  </si>
  <si>
    <t>el la</t>
  </si>
  <si>
    <t>[[local / nave 3]]</t>
  </si>
  <si>
    <t>[[CALLE_ACCESO]]</t>
  </si>
  <si>
    <t>XX:XX</t>
  </si>
  <si>
    <t>LUNES-VIERNES</t>
  </si>
  <si>
    <t>calle …</t>
  </si>
  <si>
    <t>[[MES]]</t>
  </si>
  <si>
    <t>[[ubicación cuadro eléctrico]]</t>
  </si>
  <si>
    <t>[[CAPTURA DE LA TABLA 1.1 DB SI 4 DE ACUERDO AL USO]]</t>
  </si>
  <si>
    <t xml:space="preserve">[[nombre de la empresa]] </t>
  </si>
  <si>
    <t xml:space="preserve">[[PLANTA_LOCAL]] </t>
  </si>
  <si>
    <t xml:space="preserve">[[NUM_ALTURAS_EDIFICIO]] </t>
  </si>
  <si>
    <t xml:space="preserve">[[SUPERFICIE_UTIL_M2]] </t>
  </si>
  <si>
    <t xml:space="preserve">[[superficie construida m2]] </t>
  </si>
  <si>
    <t xml:space="preserve">[[NUM_ASEOS]] </t>
  </si>
  <si>
    <t xml:space="preserve">[[UNISEX / POR SEXOS]] </t>
  </si>
  <si>
    <t xml:space="preserve">[[HORARIO]] </t>
  </si>
  <si>
    <t>Valor</t>
  </si>
  <si>
    <t>[[TABLA DE OCUPACIÓN]]</t>
  </si>
  <si>
    <t>[[CUADRO DE SUPERFICIES]]</t>
  </si>
  <si>
    <t>[[TABLA IMPACTO ELEMENTOS FIJOS]]</t>
  </si>
  <si>
    <t>[NOMBRE EMPRESA]</t>
  </si>
  <si>
    <t>[DIRECCIÓN DEL ESTABLECIMIENTO]</t>
  </si>
  <si>
    <t>[MES]</t>
  </si>
  <si>
    <t>[AÑO]</t>
  </si>
  <si>
    <t>[[NOMBRE EMPRESA]]</t>
  </si>
  <si>
    <t>[[encabezado]]</t>
  </si>
  <si>
    <t xml:space="preserve">[[días realización obra]] </t>
  </si>
  <si>
    <t xml:space="preserve">[[operarios trabajando]] </t>
  </si>
  <si>
    <t>Personal</t>
  </si>
  <si>
    <t>Si</t>
  </si>
  <si>
    <t>INSTALADOR BT</t>
  </si>
  <si>
    <t>INSTALADOR PCI</t>
  </si>
  <si>
    <t>INSTALADOR PLADUR</t>
  </si>
  <si>
    <t>INSTALADOR CLIMATIZACIÓN</t>
  </si>
  <si>
    <t>INSTALADOR VENTILACIÓN</t>
  </si>
  <si>
    <t>CERRAJERO</t>
  </si>
  <si>
    <t>PINTOR</t>
  </si>
  <si>
    <t>CARPINTERO</t>
  </si>
  <si>
    <t>ALLBAÑIL</t>
  </si>
  <si>
    <t>ACRISTALADOR</t>
  </si>
  <si>
    <t>Dirección</t>
  </si>
  <si>
    <t>[[ENCABEZADO]]</t>
  </si>
  <si>
    <t>Alisios</t>
  </si>
  <si>
    <t>Calle Alisios, nº23, 38650, Santa Cruz de Tenerife</t>
  </si>
  <si>
    <t>junio</t>
  </si>
  <si>
    <t>una nave</t>
  </si>
  <si>
    <t>de la nave</t>
  </si>
  <si>
    <t>la nave</t>
  </si>
  <si>
    <t>PROYECTO DE ACTIVIDAD E INSTALACIONES PARA ALISIOS S.L.</t>
  </si>
  <si>
    <t>almacenamiento de materiales de construcción y oficinas técnicas y administrativas</t>
  </si>
  <si>
    <t xml:space="preserve">Calle Alisios </t>
  </si>
  <si>
    <t xml:space="preserve"> existentes</t>
  </si>
  <si>
    <t>Granadilla de Abona</t>
  </si>
  <si>
    <t>Alisios S.L.</t>
  </si>
  <si>
    <t>B7454745</t>
  </si>
  <si>
    <t>F</t>
  </si>
  <si>
    <t>Tercer</t>
  </si>
  <si>
    <t>Lunes-Viernes</t>
  </si>
  <si>
    <t>primera</t>
  </si>
  <si>
    <t>unisex</t>
  </si>
  <si>
    <t>8:00-16:00</t>
  </si>
  <si>
    <t>Al lado de la puerta principal</t>
  </si>
  <si>
    <t>[[jornadas]]</t>
  </si>
  <si>
    <t>Tipo de uso</t>
  </si>
  <si>
    <t>Ruta</t>
  </si>
  <si>
    <t>Administrativo</t>
  </si>
  <si>
    <t>Aparcamiento</t>
  </si>
  <si>
    <t>Comercial</t>
  </si>
  <si>
    <t>Docente</t>
  </si>
  <si>
    <t>Hospitalario</t>
  </si>
  <si>
    <t>Pública Concurrencia</t>
  </si>
  <si>
    <t>Residencial Público</t>
  </si>
  <si>
    <t>Residencial Vivienda</t>
  </si>
  <si>
    <t>C:\Users\joleh\Dropbox\INGENIERIA\IMÁGENES DB SI 4\Aparcamiento.png</t>
  </si>
  <si>
    <t>C:\Users\joleh\Dropbox\INGENIERIA\IMÁGENES DB SI 4\Administrativo.png</t>
  </si>
  <si>
    <t>C:\Users\joleh\Dropbox\INGENIERIA\IMÁGENES DB SI 4\Comercial.png</t>
  </si>
  <si>
    <t>C:\Users\joleh\Dropbox\INGENIERIA\IMÁGENES DB SI 4\Docente.png</t>
  </si>
  <si>
    <t>C:\Users\joleh\Dropbox\INGENIERIA\IMÁGENES DB SI 4\Hospitalario.png</t>
  </si>
  <si>
    <t>C:\Users\joleh\Dropbox\INGENIERIA\IMÁGENES DB SI 4\Pública Concurrencia.png</t>
  </si>
  <si>
    <t>C:\Users\joleh\Dropbox\INGENIERIA\IMÁGENES DB SI 4\Residencial Público.png</t>
  </si>
  <si>
    <t>C:\Users\joleh\Dropbox\INGENIERIA\IMÁGENES DB SI 4\Residencial Vivienda.png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</si>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</sst>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name val="Swis721 Lt BT"/>
      <family val="2"/>
    </font>
    <font>
      <sz val="11"/>
      <name val="Swis721 Lt BT"/>
      <family val="2"/>
    </font>
    <font>
      <sz val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0" fontId="1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40000-82D8-454A-9C9B-540261EBE902}">
  <dimension ref="A1:B5"/>
  <sheetViews>
    <sheetView workbookViewId="0">
      <selection activeCell="B4" sqref="B4"/>
    </sheetView>
  </sheetViews>
  <sheetFormatPr baseColWidth="10" defaultRowHeight="15" x14ac:dyDescent="0.25"/>
  <cols>
    <col min="1" max="1" width="38.140625" bestFit="1" customWidth="1"/>
    <col min="2" max="2" width="44" bestFit="1" customWidth="1"/>
  </cols>
  <sheetData>
    <row r="1" spans="1:2" x14ac:dyDescent="0.25">
      <c r="A1" s="2" t="s">
        <v>0</v>
      </c>
      <c r="B1" s="2" t="s">
        <v>39</v>
      </c>
    </row>
    <row r="2" spans="1:2" x14ac:dyDescent="0.25">
      <c r="A2" s="2" t="s">
        <v>43</v>
      </c>
      <c r="B2" s="6" t="s">
        <v>65</v>
      </c>
    </row>
    <row r="3" spans="1:2" x14ac:dyDescent="0.25">
      <c r="A3" s="9" t="s">
        <v>44</v>
      </c>
      <c r="B3" s="6" t="s">
        <v>66</v>
      </c>
    </row>
    <row r="4" spans="1:2" x14ac:dyDescent="0.25">
      <c r="A4" s="2" t="s">
        <v>45</v>
      </c>
      <c r="B4" s="6" t="s">
        <v>67</v>
      </c>
    </row>
    <row r="5" spans="1:2" x14ac:dyDescent="0.25">
      <c r="A5" s="2" t="s">
        <v>46</v>
      </c>
      <c r="B5" s="6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2C45C-01FA-4FCB-96EF-789294F30345}">
  <dimension ref="A1:H33"/>
  <sheetViews>
    <sheetView workbookViewId="0">
      <selection activeCell="B37" sqref="B37"/>
    </sheetView>
  </sheetViews>
  <sheetFormatPr baseColWidth="10" defaultRowHeight="15" x14ac:dyDescent="0.25"/>
  <cols>
    <col min="1" max="1" width="46.5703125" bestFit="1" customWidth="1"/>
    <col min="2" max="2" width="77" bestFit="1" customWidth="1"/>
    <col min="3" max="3" width="14.5703125" bestFit="1" customWidth="1"/>
  </cols>
  <sheetData>
    <row r="1" spans="1:3" x14ac:dyDescent="0.25">
      <c r="A1" s="2" t="s">
        <v>0</v>
      </c>
      <c r="B1" s="2" t="s">
        <v>39</v>
      </c>
      <c r="C1" s="2"/>
    </row>
    <row r="2" spans="1:3" x14ac:dyDescent="0.25">
      <c r="A2" s="2" t="s">
        <v>18</v>
      </c>
      <c r="B2" s="3" t="s">
        <v>68</v>
      </c>
      <c r="C2" s="3" t="s">
        <v>20</v>
      </c>
    </row>
    <row r="3" spans="1:3" x14ac:dyDescent="0.25">
      <c r="A3" s="2" t="s">
        <v>19</v>
      </c>
      <c r="B3" s="3" t="s">
        <v>69</v>
      </c>
      <c r="C3" s="3" t="s">
        <v>21</v>
      </c>
    </row>
    <row r="4" spans="1:3" x14ac:dyDescent="0.25">
      <c r="A4" s="2" t="s">
        <v>23</v>
      </c>
      <c r="B4" s="3" t="s">
        <v>70</v>
      </c>
      <c r="C4" s="3" t="s">
        <v>22</v>
      </c>
    </row>
    <row r="5" spans="1:3" x14ac:dyDescent="0.25">
      <c r="A5" s="2" t="s">
        <v>48</v>
      </c>
      <c r="B5" s="3" t="s">
        <v>71</v>
      </c>
      <c r="C5" s="3"/>
    </row>
    <row r="6" spans="1:3" x14ac:dyDescent="0.25">
      <c r="A6" s="4" t="s">
        <v>17</v>
      </c>
      <c r="B6" s="3" t="s">
        <v>72</v>
      </c>
      <c r="C6" s="3"/>
    </row>
    <row r="7" spans="1:3" x14ac:dyDescent="0.25">
      <c r="A7" s="4" t="s">
        <v>24</v>
      </c>
      <c r="B7" s="3" t="s">
        <v>73</v>
      </c>
      <c r="C7" s="3" t="s">
        <v>27</v>
      </c>
    </row>
    <row r="8" spans="1:3" x14ac:dyDescent="0.25">
      <c r="A8" s="4" t="s">
        <v>31</v>
      </c>
      <c r="B8" s="3" t="str">
        <f>PORTADA!B2</f>
        <v>Alisios</v>
      </c>
      <c r="C8" s="3"/>
    </row>
    <row r="9" spans="1:3" x14ac:dyDescent="0.25">
      <c r="A9" s="4" t="s">
        <v>1</v>
      </c>
      <c r="B9" s="3" t="s">
        <v>74</v>
      </c>
      <c r="C9" s="3"/>
    </row>
    <row r="10" spans="1:3" x14ac:dyDescent="0.25">
      <c r="A10" s="4" t="s">
        <v>2</v>
      </c>
      <c r="B10" s="3" t="s">
        <v>75</v>
      </c>
      <c r="C10" s="3"/>
    </row>
    <row r="11" spans="1:3" x14ac:dyDescent="0.25">
      <c r="A11" s="5" t="s">
        <v>3</v>
      </c>
      <c r="B11" s="3" t="s">
        <v>76</v>
      </c>
      <c r="C11" s="3"/>
    </row>
    <row r="12" spans="1:3" x14ac:dyDescent="0.25">
      <c r="A12" s="5" t="s">
        <v>4</v>
      </c>
      <c r="B12" s="3" t="s">
        <v>77</v>
      </c>
      <c r="C12" s="3"/>
    </row>
    <row r="13" spans="1:3" x14ac:dyDescent="0.25">
      <c r="A13" s="5" t="s">
        <v>5</v>
      </c>
      <c r="B13" s="3" t="s">
        <v>66</v>
      </c>
      <c r="C13" s="3"/>
    </row>
    <row r="14" spans="1:3" x14ac:dyDescent="0.25">
      <c r="A14" s="4" t="s">
        <v>6</v>
      </c>
      <c r="B14" s="3" t="str">
        <f>PORTADA!B3</f>
        <v>Calle Alisios, nº23, 38650, Santa Cruz de Tenerife</v>
      </c>
      <c r="C14" s="3"/>
    </row>
    <row r="15" spans="1:3" x14ac:dyDescent="0.25">
      <c r="A15" s="4" t="s">
        <v>7</v>
      </c>
      <c r="B15" s="3">
        <v>101</v>
      </c>
      <c r="C15" s="3"/>
    </row>
    <row r="16" spans="1:3" x14ac:dyDescent="0.25">
      <c r="A16" s="4" t="s">
        <v>8</v>
      </c>
      <c r="B16" s="3" t="s">
        <v>72</v>
      </c>
      <c r="C16" s="3"/>
    </row>
    <row r="17" spans="1:8" x14ac:dyDescent="0.25">
      <c r="A17" s="4" t="s">
        <v>9</v>
      </c>
      <c r="B17" s="3" t="s">
        <v>78</v>
      </c>
      <c r="C17" s="3"/>
    </row>
    <row r="18" spans="1:8" x14ac:dyDescent="0.25">
      <c r="A18" s="4" t="s">
        <v>10</v>
      </c>
      <c r="B18" s="3" t="s">
        <v>79</v>
      </c>
      <c r="C18" s="3"/>
    </row>
    <row r="19" spans="1:8" x14ac:dyDescent="0.25">
      <c r="A19" s="4" t="s">
        <v>28</v>
      </c>
      <c r="B19" s="3" t="str">
        <f>PORTADA!B4</f>
        <v>junio</v>
      </c>
      <c r="C19" s="3"/>
    </row>
    <row r="20" spans="1:8" x14ac:dyDescent="0.25">
      <c r="A20" s="4" t="s">
        <v>11</v>
      </c>
      <c r="B20" s="3">
        <f>PORTADA!B5</f>
        <v>2026</v>
      </c>
      <c r="C20" s="3"/>
    </row>
    <row r="21" spans="1:8" x14ac:dyDescent="0.25">
      <c r="A21" s="4" t="s">
        <v>12</v>
      </c>
      <c r="B21" s="3">
        <v>10</v>
      </c>
      <c r="C21" s="3"/>
    </row>
    <row r="22" spans="1:8" x14ac:dyDescent="0.25">
      <c r="A22" s="4" t="s">
        <v>13</v>
      </c>
      <c r="B22" s="12">
        <v>0.33333333333333331</v>
      </c>
      <c r="C22" s="3"/>
    </row>
    <row r="23" spans="1:8" x14ac:dyDescent="0.25">
      <c r="A23" s="4" t="s">
        <v>14</v>
      </c>
      <c r="B23" s="12">
        <v>0.66666666666666663</v>
      </c>
      <c r="C23" s="3"/>
    </row>
    <row r="24" spans="1:8" x14ac:dyDescent="0.25">
      <c r="A24" s="4" t="s">
        <v>15</v>
      </c>
      <c r="B24" s="3" t="s">
        <v>80</v>
      </c>
      <c r="C24" s="3" t="s">
        <v>26</v>
      </c>
    </row>
    <row r="25" spans="1:8" x14ac:dyDescent="0.25">
      <c r="A25" s="4" t="s">
        <v>16</v>
      </c>
      <c r="B25" s="3" t="s">
        <v>72</v>
      </c>
      <c r="C25" s="3"/>
    </row>
    <row r="26" spans="1:8" x14ac:dyDescent="0.25">
      <c r="A26" s="4" t="s">
        <v>32</v>
      </c>
      <c r="B26" s="3" t="s">
        <v>81</v>
      </c>
      <c r="C26" s="3"/>
    </row>
    <row r="27" spans="1:8" x14ac:dyDescent="0.25">
      <c r="A27" s="4" t="s">
        <v>33</v>
      </c>
      <c r="B27" s="3">
        <v>2</v>
      </c>
      <c r="C27" s="3"/>
    </row>
    <row r="28" spans="1:8" x14ac:dyDescent="0.25">
      <c r="A28" s="4" t="s">
        <v>34</v>
      </c>
      <c r="B28" s="3">
        <v>1450</v>
      </c>
      <c r="C28" s="3"/>
    </row>
    <row r="29" spans="1:8" x14ac:dyDescent="0.25">
      <c r="A29" s="4" t="s">
        <v>35</v>
      </c>
      <c r="B29" s="3">
        <v>2540</v>
      </c>
      <c r="C29" s="3"/>
      <c r="H29">
        <v>3</v>
      </c>
    </row>
    <row r="30" spans="1:8" x14ac:dyDescent="0.25">
      <c r="A30" s="4" t="s">
        <v>36</v>
      </c>
      <c r="B30" s="3">
        <v>4</v>
      </c>
      <c r="C30" s="3"/>
    </row>
    <row r="31" spans="1:8" x14ac:dyDescent="0.25">
      <c r="A31" s="4" t="s">
        <v>37</v>
      </c>
      <c r="B31" s="3" t="s">
        <v>82</v>
      </c>
      <c r="C31" s="3"/>
    </row>
    <row r="32" spans="1:8" x14ac:dyDescent="0.25">
      <c r="A32" s="4" t="s">
        <v>38</v>
      </c>
      <c r="B32" s="3" t="s">
        <v>83</v>
      </c>
      <c r="C32" s="3" t="s">
        <v>25</v>
      </c>
    </row>
    <row r="33" spans="1:3" x14ac:dyDescent="0.25">
      <c r="A33" s="4" t="s">
        <v>29</v>
      </c>
      <c r="B33" s="1" t="s">
        <v>84</v>
      </c>
      <c r="C33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18112-FAD8-435E-A79E-5678ABDD1B94}">
  <dimension ref="A1:C2"/>
  <sheetViews>
    <sheetView workbookViewId="0">
      <selection activeCell="C9" sqref="C9"/>
    </sheetView>
  </sheetViews>
  <sheetFormatPr baseColWidth="10" defaultRowHeight="15" x14ac:dyDescent="0.25"/>
  <cols>
    <col min="1" max="1" width="59.5703125" bestFit="1" customWidth="1"/>
    <col min="2" max="2" width="13.85546875" bestFit="1" customWidth="1"/>
    <col min="3" max="3" width="67.5703125" bestFit="1" customWidth="1"/>
  </cols>
  <sheetData>
    <row r="1" spans="1:3" x14ac:dyDescent="0.25">
      <c r="A1" s="2" t="s">
        <v>0</v>
      </c>
      <c r="B1" s="2" t="s">
        <v>39</v>
      </c>
      <c r="C1" s="6" t="s">
        <v>63</v>
      </c>
    </row>
    <row r="2" spans="1:3" x14ac:dyDescent="0.25">
      <c r="A2" s="10" t="s">
        <v>30</v>
      </c>
      <c r="B2" s="7" t="s">
        <v>88</v>
      </c>
      <c r="C2" s="7" t="str">
        <f>IFERROR(_xlfn.XLOOKUP(B2, 'DATOS IMÁGENES'!A:A, 'DATOS IMÁGENES'!B:B), "")</f>
        <v>C:\Users\joleh\Dropbox\INGENIERIA\IMÁGENES DB SI 4\Administrativo.png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E6FE01D-BA46-451D-BC30-8E0D7E8F9E85}">
          <x14:formula1>
            <xm:f>'DATOS IMÁGENES'!$A$2:$A$9</xm:f>
          </x14:formula1>
          <xm:sqref>B2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CB875-ECEF-4153-A6DF-F6C3CA5C17F4}">
  <dimension ref="A1:B9"/>
  <sheetViews>
    <sheetView workbookViewId="0">
      <selection activeCell="B12" sqref="B12"/>
    </sheetView>
  </sheetViews>
  <sheetFormatPr baseColWidth="10" defaultRowHeight="15" x14ac:dyDescent="0.25"/>
  <cols>
    <col min="1" max="1" width="20.140625" bestFit="1" customWidth="1"/>
    <col min="2" max="2" width="73.85546875" bestFit="1" customWidth="1"/>
  </cols>
  <sheetData>
    <row r="1" spans="1:2" x14ac:dyDescent="0.25">
      <c r="A1" s="6" t="s">
        <v>86</v>
      </c>
      <c r="B1" s="6" t="s">
        <v>87</v>
      </c>
    </row>
    <row r="2" spans="1:2" x14ac:dyDescent="0.25">
      <c r="A2" s="6" t="s">
        <v>88</v>
      </c>
      <c r="B2" s="6" t="s">
        <v>97</v>
      </c>
    </row>
    <row r="3" spans="1:2" x14ac:dyDescent="0.25">
      <c r="A3" s="6" t="s">
        <v>89</v>
      </c>
      <c r="B3" s="6" t="s">
        <v>96</v>
      </c>
    </row>
    <row r="4" spans="1:2" x14ac:dyDescent="0.25">
      <c r="A4" s="6" t="s">
        <v>90</v>
      </c>
      <c r="B4" s="6" t="s">
        <v>98</v>
      </c>
    </row>
    <row r="5" spans="1:2" x14ac:dyDescent="0.25">
      <c r="A5" s="6" t="s">
        <v>91</v>
      </c>
      <c r="B5" s="6" t="s">
        <v>99</v>
      </c>
    </row>
    <row r="6" spans="1:2" x14ac:dyDescent="0.25">
      <c r="A6" s="6" t="s">
        <v>92</v>
      </c>
      <c r="B6" s="6" t="s">
        <v>100</v>
      </c>
    </row>
    <row r="7" spans="1:2" x14ac:dyDescent="0.25">
      <c r="A7" s="6" t="s">
        <v>93</v>
      </c>
      <c r="B7" s="6" t="s">
        <v>101</v>
      </c>
    </row>
    <row r="8" spans="1:2" x14ac:dyDescent="0.25">
      <c r="A8" s="6" t="s">
        <v>94</v>
      </c>
      <c r="B8" s="6" t="s">
        <v>102</v>
      </c>
    </row>
    <row r="9" spans="1:2" x14ac:dyDescent="0.25">
      <c r="A9" s="6" t="s">
        <v>95</v>
      </c>
      <c r="B9" s="6" t="s">
        <v>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E1C2-C186-4C0C-9F04-A5C8C9B446D2}">
  <dimension ref="A1:B4"/>
  <sheetViews>
    <sheetView workbookViewId="0">
      <selection activeCell="C1" sqref="C1"/>
    </sheetView>
  </sheetViews>
  <sheetFormatPr baseColWidth="10" defaultRowHeight="15" x14ac:dyDescent="0.25"/>
  <cols>
    <col min="1" max="1" width="34.28515625" bestFit="1" customWidth="1"/>
  </cols>
  <sheetData>
    <row r="1" spans="1:2" x14ac:dyDescent="0.25">
      <c r="A1" s="2" t="s">
        <v>0</v>
      </c>
      <c r="B1" s="2" t="s">
        <v>39</v>
      </c>
    </row>
    <row r="2" spans="1:2" x14ac:dyDescent="0.25">
      <c r="A2" s="11" t="s">
        <v>40</v>
      </c>
      <c r="B2" s="7"/>
    </row>
    <row r="3" spans="1:2" x14ac:dyDescent="0.25">
      <c r="A3" s="11" t="s">
        <v>41</v>
      </c>
      <c r="B3" s="7"/>
    </row>
    <row r="4" spans="1:2" x14ac:dyDescent="0.25">
      <c r="A4" s="11" t="s">
        <v>42</v>
      </c>
      <c r="B4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A27BE-B90F-4CCE-9104-097EDFCE9700}">
  <dimension ref="A1:B5"/>
  <sheetViews>
    <sheetView workbookViewId="0">
      <selection activeCell="B3" sqref="B3"/>
    </sheetView>
  </sheetViews>
  <sheetFormatPr baseColWidth="10" defaultRowHeight="15" x14ac:dyDescent="0.25"/>
  <cols>
    <col min="1" max="1" width="21" bestFit="1" customWidth="1"/>
  </cols>
  <sheetData>
    <row r="1" spans="1:2" x14ac:dyDescent="0.25">
      <c r="A1" s="2" t="s">
        <v>0</v>
      </c>
      <c r="B1" s="2" t="s">
        <v>39</v>
      </c>
    </row>
    <row r="2" spans="1:2" x14ac:dyDescent="0.25">
      <c r="A2" s="8" t="s">
        <v>47</v>
      </c>
      <c r="B2" s="2" t="str">
        <f>PORTADA!B2</f>
        <v>Alisios</v>
      </c>
    </row>
    <row r="3" spans="1:2" x14ac:dyDescent="0.25">
      <c r="A3" s="2" t="s">
        <v>23</v>
      </c>
      <c r="B3" s="2" t="str">
        <f>'MEMORIA ETIQUETAS'!B4</f>
        <v>la nave</v>
      </c>
    </row>
    <row r="4" spans="1:2" x14ac:dyDescent="0.25">
      <c r="A4" s="2" t="s">
        <v>28</v>
      </c>
      <c r="B4" s="2" t="str">
        <f>PORTADA!B4</f>
        <v>junio</v>
      </c>
    </row>
    <row r="5" spans="1:2" x14ac:dyDescent="0.25">
      <c r="A5" s="2" t="s">
        <v>11</v>
      </c>
      <c r="B5" s="2">
        <f>PORTADA!B5</f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D257F-BA04-4F3E-9E12-7A2A975A2654}">
  <dimension ref="A1:B9"/>
  <sheetViews>
    <sheetView workbookViewId="0">
      <selection activeCell="A7" sqref="A7"/>
    </sheetView>
  </sheetViews>
  <sheetFormatPr baseColWidth="10" defaultRowHeight="15" x14ac:dyDescent="0.25"/>
  <cols>
    <col min="1" max="1" width="23.85546875" bestFit="1" customWidth="1"/>
    <col min="2" max="2" width="77" bestFit="1" customWidth="1"/>
  </cols>
  <sheetData>
    <row r="1" spans="1:2" x14ac:dyDescent="0.25">
      <c r="A1" s="2" t="s">
        <v>0</v>
      </c>
      <c r="B1" s="2" t="s">
        <v>39</v>
      </c>
    </row>
    <row r="2" spans="1:2" x14ac:dyDescent="0.25">
      <c r="A2" s="2" t="s">
        <v>18</v>
      </c>
      <c r="B2" s="6" t="str">
        <f>'MEMORIA ETIQUETAS'!B2</f>
        <v>una nave</v>
      </c>
    </row>
    <row r="3" spans="1:2" x14ac:dyDescent="0.25">
      <c r="A3" s="6" t="s">
        <v>64</v>
      </c>
      <c r="B3" s="6" t="str">
        <f>'MEMORIA ETIQUETAS'!B5</f>
        <v>PROYECTO DE ACTIVIDAD E INSTALACIONES PARA ALISIOS S.L.</v>
      </c>
    </row>
    <row r="4" spans="1:2" x14ac:dyDescent="0.25">
      <c r="A4" s="2" t="s">
        <v>17</v>
      </c>
      <c r="B4" s="6" t="str">
        <f>'MEMORIA ETIQUETAS'!B6</f>
        <v>almacenamiento de materiales de construcción y oficinas técnicas y administrativas</v>
      </c>
    </row>
    <row r="5" spans="1:2" x14ac:dyDescent="0.25">
      <c r="A5" s="2" t="s">
        <v>49</v>
      </c>
      <c r="B5" s="6">
        <v>30</v>
      </c>
    </row>
    <row r="6" spans="1:2" x14ac:dyDescent="0.25">
      <c r="A6" s="2" t="s">
        <v>50</v>
      </c>
      <c r="B6" s="6">
        <v>10</v>
      </c>
    </row>
    <row r="7" spans="1:2" x14ac:dyDescent="0.25">
      <c r="A7" s="2" t="s">
        <v>85</v>
      </c>
      <c r="B7" s="6">
        <f>B5*B6</f>
        <v>300</v>
      </c>
    </row>
    <row r="8" spans="1:2" x14ac:dyDescent="0.25">
      <c r="A8" s="2" t="s">
        <v>28</v>
      </c>
      <c r="B8" s="6" t="str">
        <f>PORTADA!B4</f>
        <v>junio</v>
      </c>
    </row>
    <row r="9" spans="1:2" x14ac:dyDescent="0.25">
      <c r="A9" s="2" t="s">
        <v>11</v>
      </c>
      <c r="B9" s="6">
        <f>PORTADA!B5</f>
        <v>2026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6D582-9648-4283-A635-299E04FA3683}">
  <dimension ref="A1:B11"/>
  <sheetViews>
    <sheetView tabSelected="1" workbookViewId="0">
      <selection activeCell="B16" sqref="B16"/>
    </sheetView>
  </sheetViews>
  <sheetFormatPr baseColWidth="10" defaultRowHeight="15" x14ac:dyDescent="0.25"/>
  <cols>
    <col min="1" max="1" width="26.42578125" bestFit="1" customWidth="1"/>
  </cols>
  <sheetData>
    <row r="1" spans="1:2" x14ac:dyDescent="0.25">
      <c r="A1" s="6" t="s">
        <v>51</v>
      </c>
      <c r="B1" s="6" t="s">
        <v>52</v>
      </c>
    </row>
    <row r="2" spans="1:2" x14ac:dyDescent="0.25">
      <c r="A2" s="7" t="s">
        <v>53</v>
      </c>
      <c r="B2" s="7" t="s">
        <v>104</v>
      </c>
    </row>
    <row r="3" spans="1:2" x14ac:dyDescent="0.25">
      <c r="A3" s="7" t="s">
        <v>54</v>
      </c>
      <c r="B3" s="7" t="s">
        <v>104</v>
      </c>
    </row>
    <row r="4" spans="1:2" x14ac:dyDescent="0.25">
      <c r="A4" s="7" t="s">
        <v>55</v>
      </c>
      <c r="B4" s="7" t="s">
        <v>104</v>
      </c>
    </row>
    <row r="5" spans="1:2" x14ac:dyDescent="0.25">
      <c r="A5" s="7" t="s">
        <v>56</v>
      </c>
      <c r="B5" s="7" t="s">
        <v>104</v>
      </c>
    </row>
    <row r="6" spans="1:2" x14ac:dyDescent="0.25">
      <c r="A6" s="7" t="s">
        <v>57</v>
      </c>
      <c r="B6" s="7" t="s">
        <v>104</v>
      </c>
    </row>
    <row r="7" spans="1:2" x14ac:dyDescent="0.25">
      <c r="A7" s="7" t="s">
        <v>58</v>
      </c>
      <c r="B7" s="7" t="s">
        <v>104</v>
      </c>
    </row>
    <row r="8" spans="1:2" x14ac:dyDescent="0.25">
      <c r="A8" s="7" t="s">
        <v>59</v>
      </c>
      <c r="B8" s="7"/>
    </row>
    <row r="9" spans="1:2" x14ac:dyDescent="0.25">
      <c r="A9" s="7" t="s">
        <v>60</v>
      </c>
      <c r="B9" s="7"/>
    </row>
    <row r="10" spans="1:2" x14ac:dyDescent="0.25">
      <c r="A10" s="7" t="s">
        <v>61</v>
      </c>
      <c r="B10" s="7"/>
    </row>
    <row r="11" spans="1:2" x14ac:dyDescent="0.25">
      <c r="A11" s="7" t="s">
        <v>62</v>
      </c>
      <c r="B11" s="7" t="s">
        <v>104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6A815-6FC3-46C7-A214-07DE3B934E4C}">
  <dimension ref="A1:B4"/>
  <sheetViews>
    <sheetView workbookViewId="0">
      <selection activeCell="D21" sqref="D21"/>
    </sheetView>
  </sheetViews>
  <sheetFormatPr baseColWidth="10" defaultRowHeight="15" x14ac:dyDescent="0.25"/>
  <cols>
    <col min="1" max="1" width="15" bestFit="1" customWidth="1"/>
    <col min="2" max="2" width="54.85546875" bestFit="1" customWidth="1"/>
  </cols>
  <sheetData>
    <row r="1" spans="1:2" x14ac:dyDescent="0.25">
      <c r="A1" s="2" t="s">
        <v>0</v>
      </c>
      <c r="B1" s="2" t="s">
        <v>39</v>
      </c>
    </row>
    <row r="2" spans="1:2" x14ac:dyDescent="0.25">
      <c r="A2" s="6" t="s">
        <v>64</v>
      </c>
      <c r="B2" s="6" t="str">
        <f>'MEMORIA ETIQUETAS'!B5</f>
        <v>PROYECTO DE ACTIVIDAD E INSTALACIONES PARA ALISIOS S.L.</v>
      </c>
    </row>
    <row r="3" spans="1:2" x14ac:dyDescent="0.25">
      <c r="A3" s="6" t="s">
        <v>28</v>
      </c>
      <c r="B3" s="6" t="str">
        <f>PORTADA!B4</f>
        <v>junio</v>
      </c>
    </row>
    <row r="4" spans="1:2" x14ac:dyDescent="0.25">
      <c r="A4" s="6" t="s">
        <v>11</v>
      </c>
      <c r="B4" s="6">
        <f>PORTADA!B5</f>
        <v>2026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</vt:lpstr>
      <vt:lpstr>MEMORIA ETIQUETAS</vt:lpstr>
      <vt:lpstr>MEMORIA TABLAS</vt:lpstr>
      <vt:lpstr>DATOS IMÁGENES</vt:lpstr>
      <vt:lpstr>MEMORIA CUADROS</vt:lpstr>
      <vt:lpstr>ANEXO DISP MIN</vt:lpstr>
      <vt:lpstr>EBSS</vt:lpstr>
      <vt:lpstr>PERSONAL_EBSS</vt:lpstr>
      <vt:lpstr>PLIEGO CONDICIONES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Jolehisy Acevedo Medina</dc:creator>
  <cp:lastModifiedBy>Jolehisy Acevedo Medina</cp:lastModifiedBy>
  <dcterms:created xsi:type="dcterms:W3CDTF">2026-05-07T16:27:39Z</dcterms:created>
  <dcterms:modified xsi:type="dcterms:W3CDTF">2026-05-09T11:19:38Z</dcterms:modified>
</cp:coreProperties>
</file>